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overn" sheetId="2" state="visible" r:id="rId2"/>
    <sheet xmlns:r="http://schemas.openxmlformats.org/officeDocument/2006/relationships" name="Identify" sheetId="3" state="visible" r:id="rId3"/>
    <sheet xmlns:r="http://schemas.openxmlformats.org/officeDocument/2006/relationships" name="Protect" sheetId="4" state="visible" r:id="rId4"/>
    <sheet xmlns:r="http://schemas.openxmlformats.org/officeDocument/2006/relationships" name="Detect" sheetId="5" state="visible" r:id="rId5"/>
    <sheet xmlns:r="http://schemas.openxmlformats.org/officeDocument/2006/relationships" name="Respond" sheetId="6" state="visible" r:id="rId6"/>
    <sheet xmlns:r="http://schemas.openxmlformats.org/officeDocument/2006/relationships" name="Reco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E3A5F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166534"/>
      <sz val="11"/>
    </font>
    <font>
      <name val="Arial"/>
      <color rgb="00991B1B"/>
      <sz val="11"/>
    </font>
    <font>
      <name val="Arial"/>
      <color rgb="0092400E"/>
      <sz val="11"/>
    </font>
    <font>
      <name val="Arial"/>
      <color rgb="00374151"/>
      <sz val="11"/>
    </font>
    <font>
      <name val="Arial"/>
      <b val="1"/>
      <color rgb="00166534"/>
      <sz val="11"/>
    </font>
    <font>
      <name val="Arial"/>
      <b val="1"/>
      <color rgb="00991B1B"/>
      <sz val="11"/>
    </font>
    <font>
      <name val="Arial"/>
      <b val="1"/>
      <color rgb="0092400E"/>
      <sz val="11"/>
    </font>
    <font>
      <name val="Arial"/>
      <b val="1"/>
      <color rgb="00374151"/>
      <sz val="11"/>
    </font>
    <font>
      <name val="Arial"/>
      <color rgb="00444444"/>
      <sz val="10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i val="1"/>
      <color rgb="00888888"/>
      <sz val="9"/>
    </font>
    <font>
      <name val="Arial"/>
      <i val="1"/>
      <color rgb="00777777"/>
      <sz val="9"/>
    </font>
  </fonts>
  <fills count="2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  <fill>
      <patternFill patternType="solid">
        <fgColor rgb="00374151"/>
      </patternFill>
    </fill>
    <fill>
      <patternFill patternType="solid">
        <fgColor rgb="00EEF2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FF1F2"/>
      </patternFill>
    </fill>
    <fill>
      <patternFill patternType="solid">
        <fgColor rgb="00F0FDF4"/>
      </patternFill>
    </fill>
    <fill>
      <patternFill patternType="solid">
        <fgColor rgb="004338CA"/>
      </patternFill>
    </fill>
    <fill>
      <patternFill patternType="solid">
        <fgColor rgb="00F8F8F8"/>
      </patternFill>
    </fill>
    <fill>
      <patternFill patternType="solid">
        <fgColor rgb="001D4ED8"/>
      </patternFill>
    </fill>
    <fill>
      <patternFill patternType="solid">
        <fgColor rgb="00065F46"/>
      </patternFill>
    </fill>
    <fill>
      <patternFill patternType="solid">
        <fgColor rgb="009F1239"/>
      </patternFill>
    </fill>
  </fills>
  <borders count="4">
    <border>
      <left/>
      <right/>
      <top/>
      <bottom/>
      <diagonal/>
    </border>
    <border>
      <bottom style="thin">
        <color rgb="00AAAAAA"/>
      </bottom>
    </border>
    <border>
      <left/>
      <right/>
      <top/>
      <bottom style="thin">
        <color rgb="00AAAAA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center" vertical="center"/>
    </xf>
    <xf numFmtId="0" fontId="8" fillId="11" borderId="3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0" fontId="10" fillId="13" borderId="3" applyAlignment="1" pivotButton="0" quotePrefix="0" xfId="0">
      <alignment horizontal="center" vertical="center"/>
    </xf>
    <xf numFmtId="0" fontId="5" fillId="14" borderId="3" applyAlignment="1" pivotButton="0" quotePrefix="0" xfId="0">
      <alignment horizontal="center" vertical="center"/>
    </xf>
    <xf numFmtId="0" fontId="6" fillId="14" borderId="3" applyAlignment="1" pivotButton="0" quotePrefix="0" xfId="0">
      <alignment horizontal="left" vertical="center"/>
    </xf>
    <xf numFmtId="0" fontId="5" fillId="15" borderId="3" applyAlignment="1" pivotButton="0" quotePrefix="0" xfId="0">
      <alignment horizontal="center" vertical="center"/>
    </xf>
    <xf numFmtId="0" fontId="6" fillId="15" borderId="3" applyAlignment="1" pivotButton="0" quotePrefix="0" xfId="0">
      <alignment horizontal="left" vertical="center"/>
    </xf>
    <xf numFmtId="0" fontId="5" fillId="16" borderId="3" applyAlignment="1" pivotButton="0" quotePrefix="0" xfId="0">
      <alignment horizontal="center" vertical="center"/>
    </xf>
    <xf numFmtId="0" fontId="6" fillId="16" borderId="3" applyAlignment="1" pivotButton="0" quotePrefix="0" xfId="0">
      <alignment horizontal="left" vertical="center"/>
    </xf>
    <xf numFmtId="0" fontId="5" fillId="17" borderId="3" applyAlignment="1" pivotButton="0" quotePrefix="0" xfId="0">
      <alignment horizontal="center" vertical="center"/>
    </xf>
    <xf numFmtId="0" fontId="6" fillId="17" borderId="3" applyAlignment="1" pivotButton="0" quotePrefix="0" xfId="0">
      <alignment horizontal="left" vertical="center"/>
    </xf>
    <xf numFmtId="0" fontId="5" fillId="18" borderId="3" applyAlignment="1" pivotButton="0" quotePrefix="0" xfId="0">
      <alignment horizontal="center" vertical="center"/>
    </xf>
    <xf numFmtId="0" fontId="6" fillId="18" borderId="3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11" fillId="10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14" fillId="13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6" fillId="19" borderId="0" applyAlignment="1" pivotButton="0" quotePrefix="0" xfId="0">
      <alignment horizontal="center" vertical="center"/>
    </xf>
    <xf numFmtId="0" fontId="17" fillId="2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4" fillId="19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wrapText="1"/>
    </xf>
    <xf numFmtId="0" fontId="19" fillId="9" borderId="3" applyAlignment="1" pivotButton="0" quotePrefix="0" xfId="0">
      <alignment horizontal="left" vertical="center" wrapText="1"/>
    </xf>
    <xf numFmtId="0" fontId="5" fillId="9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/>
    </xf>
    <xf numFmtId="0" fontId="4" fillId="1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14" fillId="13" borderId="0" applyAlignment="1" pivotButton="0" quotePrefix="0" xfId="0">
      <alignment horizontal="left" vertical="center"/>
    </xf>
    <xf numFmtId="0" fontId="16" fillId="21" borderId="0" applyAlignment="1" pivotButton="0" quotePrefix="0" xfId="0">
      <alignment horizontal="center" vertical="center"/>
    </xf>
    <xf numFmtId="0" fontId="4" fillId="21" borderId="3" applyAlignment="1" pivotButton="0" quotePrefix="0" xfId="0">
      <alignment horizontal="center" vertical="center"/>
    </xf>
    <xf numFmtId="0" fontId="5" fillId="14" borderId="3" applyAlignment="1" pivotButton="0" quotePrefix="0" xfId="0">
      <alignment horizontal="left" vertical="center" wrapText="1"/>
    </xf>
    <xf numFmtId="0" fontId="19" fillId="14" borderId="3" applyAlignment="1" pivotButton="0" quotePrefix="0" xfId="0">
      <alignment horizontal="left" vertical="center" wrapText="1"/>
    </xf>
    <xf numFmtId="0" fontId="5" fillId="14" borderId="3" applyAlignment="1" pivotButton="0" quotePrefix="0" xfId="0">
      <alignment horizontal="left" vertical="center"/>
    </xf>
    <xf numFmtId="0" fontId="4" fillId="21" borderId="0" applyAlignment="1" pivotButton="0" quotePrefix="0" xfId="0">
      <alignment horizontal="center" vertical="center"/>
    </xf>
    <xf numFmtId="0" fontId="16" fillId="22" borderId="0" applyAlignment="1" pivotButton="0" quotePrefix="0" xfId="0">
      <alignment horizontal="center" vertical="center"/>
    </xf>
    <xf numFmtId="0" fontId="4" fillId="22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left" vertical="center" wrapText="1"/>
    </xf>
    <xf numFmtId="0" fontId="19" fillId="15" borderId="3" applyAlignment="1" pivotButton="0" quotePrefix="0" xfId="0">
      <alignment horizontal="left" vertical="center" wrapText="1"/>
    </xf>
    <xf numFmtId="0" fontId="5" fillId="15" borderId="3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5" fillId="16" borderId="3" applyAlignment="1" pivotButton="0" quotePrefix="0" xfId="0">
      <alignment horizontal="left" vertical="center" wrapText="1"/>
    </xf>
    <xf numFmtId="0" fontId="19" fillId="16" borderId="3" applyAlignment="1" pivotButton="0" quotePrefix="0" xfId="0">
      <alignment horizontal="left" vertical="center" wrapText="1"/>
    </xf>
    <xf numFmtId="0" fontId="5" fillId="16" borderId="3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16" fillId="23" borderId="0" applyAlignment="1" pivotButton="0" quotePrefix="0" xfId="0">
      <alignment horizontal="center" vertical="center"/>
    </xf>
    <xf numFmtId="0" fontId="4" fillId="23" borderId="3" applyAlignment="1" pivotButton="0" quotePrefix="0" xfId="0">
      <alignment horizontal="center" vertical="center"/>
    </xf>
    <xf numFmtId="0" fontId="5" fillId="17" borderId="3" applyAlignment="1" pivotButton="0" quotePrefix="0" xfId="0">
      <alignment horizontal="left" vertical="center" wrapText="1"/>
    </xf>
    <xf numFmtId="0" fontId="19" fillId="17" borderId="3" applyAlignment="1" pivotButton="0" quotePrefix="0" xfId="0">
      <alignment horizontal="left" vertical="center" wrapText="1"/>
    </xf>
    <xf numFmtId="0" fontId="5" fillId="17" borderId="3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5" fillId="18" borderId="3" applyAlignment="1" pivotButton="0" quotePrefix="0" xfId="0">
      <alignment horizontal="left" vertical="center" wrapText="1"/>
    </xf>
    <xf numFmtId="0" fontId="19" fillId="18" borderId="3" applyAlignment="1" pivotButton="0" quotePrefix="0" xfId="0">
      <alignment horizontal="left" vertical="center" wrapText="1"/>
    </xf>
    <xf numFmtId="0" fontId="5" fillId="18" borderId="3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 ht="38" customHeight="1">
      <c r="A1" s="1" t="inlineStr">
        <is>
          <t>NIST CSF 2.0 — Web Application Security Assessment Checklist</t>
        </is>
      </c>
    </row>
    <row r="3" ht="22" customHeight="1">
      <c r="A3" s="2" t="inlineStr">
        <is>
          <t>Application Name</t>
        </is>
      </c>
      <c r="B3" s="3" t="n"/>
      <c r="C3" s="4" t="n"/>
      <c r="D3" s="4" t="n"/>
    </row>
    <row r="4" ht="22" customHeight="1">
      <c r="A4" s="2" t="inlineStr">
        <is>
          <t>Assessment Date</t>
        </is>
      </c>
      <c r="B4" s="3" t="n"/>
      <c r="C4" s="4" t="n"/>
      <c r="D4" s="4" t="n"/>
    </row>
    <row r="5" ht="22" customHeight="1">
      <c r="A5" s="2" t="inlineStr">
        <is>
          <t>Assessed By</t>
        </is>
      </c>
      <c r="B5" s="3" t="n"/>
      <c r="C5" s="4" t="n"/>
      <c r="D5" s="4" t="n"/>
    </row>
    <row r="6" ht="22" customHeight="1">
      <c r="A6" s="2" t="inlineStr">
        <is>
          <t>Environment</t>
        </is>
      </c>
      <c r="B6" s="3" t="n"/>
      <c r="C6" s="4" t="n"/>
      <c r="D6" s="4" t="n"/>
    </row>
    <row r="7" ht="22" customHeight="1">
      <c r="A7" s="2" t="inlineStr">
        <is>
          <t>Version / Build</t>
        </is>
      </c>
      <c r="B7" s="3" t="n"/>
      <c r="C7" s="4" t="n"/>
      <c r="D7" s="4" t="n"/>
    </row>
    <row r="8" ht="22" customHeight="1">
      <c r="A8" s="2" t="inlineStr">
        <is>
          <t>Client / Project</t>
        </is>
      </c>
      <c r="B8" s="3" t="n"/>
      <c r="C8" s="4" t="n"/>
      <c r="D8" s="4" t="n"/>
    </row>
    <row r="10" ht="22" customHeight="1">
      <c r="A10" s="5" t="inlineStr">
        <is>
          <t>#</t>
        </is>
      </c>
      <c r="B10" s="6" t="inlineStr">
        <is>
          <t>Function</t>
        </is>
      </c>
      <c r="C10" s="5" t="inlineStr">
        <is>
          <t>Total Items</t>
        </is>
      </c>
      <c r="D10" s="7" t="inlineStr">
        <is>
          <t>Yes</t>
        </is>
      </c>
      <c r="E10" s="8" t="inlineStr">
        <is>
          <t>No</t>
        </is>
      </c>
      <c r="F10" s="9" t="inlineStr">
        <is>
          <t>Partial</t>
        </is>
      </c>
      <c r="G10" s="10" t="inlineStr">
        <is>
          <t>NA</t>
        </is>
      </c>
    </row>
    <row r="11" ht="24" customHeight="1">
      <c r="A11" s="11" t="n">
        <v>1</v>
      </c>
      <c r="B11" s="12" t="inlineStr">
        <is>
          <t>Govern</t>
        </is>
      </c>
      <c r="C11" s="11" t="n">
        <v>6</v>
      </c>
      <c r="D11" s="13">
        <f>COUNTIF('Govern'!E6:E11,"Yes")</f>
        <v/>
      </c>
      <c r="E11" s="14">
        <f>COUNTIF('Govern'!E6:E11,"No")</f>
        <v/>
      </c>
      <c r="F11" s="15">
        <f>COUNTIF('Govern'!E6:E11,"Partial")</f>
        <v/>
      </c>
      <c r="G11" s="16">
        <f>COUNTIF('Govern'!E6:E11,"NA")</f>
        <v/>
      </c>
    </row>
    <row r="12" ht="24" customHeight="1">
      <c r="A12" s="17" t="n">
        <v>2</v>
      </c>
      <c r="B12" s="18" t="inlineStr">
        <is>
          <t>Identify</t>
        </is>
      </c>
      <c r="C12" s="17" t="n">
        <v>7</v>
      </c>
      <c r="D12" s="13">
        <f>COUNTIF('Identify'!E6:E12,"Yes")</f>
        <v/>
      </c>
      <c r="E12" s="14">
        <f>COUNTIF('Identify'!E6:E12,"No")</f>
        <v/>
      </c>
      <c r="F12" s="15">
        <f>COUNTIF('Identify'!E6:E12,"Partial")</f>
        <v/>
      </c>
      <c r="G12" s="16">
        <f>COUNTIF('Identify'!E6:E12,"NA")</f>
        <v/>
      </c>
    </row>
    <row r="13" ht="24" customHeight="1">
      <c r="A13" s="19" t="n">
        <v>3</v>
      </c>
      <c r="B13" s="20" t="inlineStr">
        <is>
          <t>Protect</t>
        </is>
      </c>
      <c r="C13" s="19" t="n">
        <v>11</v>
      </c>
      <c r="D13" s="13">
        <f>COUNTIF('Protect'!E6:E16,"Yes")</f>
        <v/>
      </c>
      <c r="E13" s="14">
        <f>COUNTIF('Protect'!E6:E16,"No")</f>
        <v/>
      </c>
      <c r="F13" s="15">
        <f>COUNTIF('Protect'!E6:E16,"Partial")</f>
        <v/>
      </c>
      <c r="G13" s="16">
        <f>COUNTIF('Protect'!E6:E16,"NA")</f>
        <v/>
      </c>
    </row>
    <row r="14" ht="24" customHeight="1">
      <c r="A14" s="21" t="n">
        <v>4</v>
      </c>
      <c r="B14" s="22" t="inlineStr">
        <is>
          <t>Detect</t>
        </is>
      </c>
      <c r="C14" s="21" t="n">
        <v>10</v>
      </c>
      <c r="D14" s="13">
        <f>COUNTIF('Detect'!E6:E15,"Yes")</f>
        <v/>
      </c>
      <c r="E14" s="14">
        <f>COUNTIF('Detect'!E6:E15,"No")</f>
        <v/>
      </c>
      <c r="F14" s="15">
        <f>COUNTIF('Detect'!E6:E15,"Partial")</f>
        <v/>
      </c>
      <c r="G14" s="16">
        <f>COUNTIF('Detect'!E6:E15,"NA")</f>
        <v/>
      </c>
    </row>
    <row r="15" ht="24" customHeight="1">
      <c r="A15" s="23" t="n">
        <v>5</v>
      </c>
      <c r="B15" s="24" t="inlineStr">
        <is>
          <t>Respond</t>
        </is>
      </c>
      <c r="C15" s="23" t="n">
        <v>7</v>
      </c>
      <c r="D15" s="13">
        <f>COUNTIF('Respond'!E6:E12,"Yes")</f>
        <v/>
      </c>
      <c r="E15" s="14">
        <f>COUNTIF('Respond'!E6:E12,"No")</f>
        <v/>
      </c>
      <c r="F15" s="15">
        <f>COUNTIF('Respond'!E6:E12,"Partial")</f>
        <v/>
      </c>
      <c r="G15" s="16">
        <f>COUNTIF('Respond'!E6:E12,"NA")</f>
        <v/>
      </c>
    </row>
    <row r="16" ht="24" customHeight="1">
      <c r="A16" s="25" t="n">
        <v>6</v>
      </c>
      <c r="B16" s="26" t="inlineStr">
        <is>
          <t>Recover</t>
        </is>
      </c>
      <c r="C16" s="25" t="n">
        <v>6</v>
      </c>
      <c r="D16" s="13">
        <f>COUNTIF('Recover'!E6:E11,"Yes")</f>
        <v/>
      </c>
      <c r="E16" s="14">
        <f>COUNTIF('Recover'!E6:E11,"No")</f>
        <v/>
      </c>
      <c r="F16" s="15">
        <f>COUNTIF('Recover'!E6:E11,"Partial")</f>
        <v/>
      </c>
      <c r="G16" s="16">
        <f>COUNTIF('Recover'!E6:E11,"NA")</f>
        <v/>
      </c>
    </row>
    <row r="17">
      <c r="A17" s="27" t="inlineStr"/>
      <c r="B17" s="6" t="inlineStr">
        <is>
          <t>TOTAL</t>
        </is>
      </c>
      <c r="C17" s="5">
        <f>SUM(C11:C16)</f>
        <v/>
      </c>
      <c r="D17" s="28">
        <f>SUM(D11:D16)</f>
        <v/>
      </c>
      <c r="E17" s="29">
        <f>SUM(E11:E16)</f>
        <v/>
      </c>
      <c r="F17" s="30">
        <f>SUM(F11:F16)</f>
        <v/>
      </c>
      <c r="G17" s="31">
        <f>SUM(G11:G16)</f>
        <v/>
      </c>
    </row>
    <row r="19">
      <c r="A19" s="32" t="inlineStr">
        <is>
          <t>Status Legend</t>
        </is>
      </c>
    </row>
    <row r="20">
      <c r="A20" s="33" t="inlineStr">
        <is>
          <t>Yes</t>
        </is>
      </c>
      <c r="B20" s="34" t="inlineStr">
        <is>
          <t>Control fully implemented</t>
        </is>
      </c>
    </row>
    <row r="21">
      <c r="A21" s="35" t="inlineStr">
        <is>
          <t>No</t>
        </is>
      </c>
      <c r="B21" s="34" t="inlineStr">
        <is>
          <t>Control not implemented — finding raised</t>
        </is>
      </c>
    </row>
    <row r="22">
      <c r="A22" s="36" t="inlineStr">
        <is>
          <t>Partial</t>
        </is>
      </c>
      <c r="B22" s="34" t="inlineStr">
        <is>
          <t>Control partially implemented</t>
        </is>
      </c>
    </row>
    <row r="23">
      <c r="A23" s="37" t="inlineStr">
        <is>
          <t>NA</t>
        </is>
      </c>
      <c r="B23" s="34" t="inlineStr">
        <is>
          <t>Not applicable for this application</t>
        </is>
      </c>
    </row>
  </sheetData>
  <mergeCells count="7">
    <mergeCell ref="B3:D3"/>
    <mergeCell ref="B5:D5"/>
    <mergeCell ref="A1:G1"/>
    <mergeCell ref="B8:D8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2" customWidth="1" min="4" max="4"/>
    <col width="13" customWidth="1" min="5" max="5"/>
    <col width="28" customWidth="1" min="6" max="6"/>
    <col width="14" customWidth="1" min="7" max="7"/>
  </cols>
  <sheetData>
    <row r="1" ht="34" customHeight="1">
      <c r="A1" s="38" t="inlineStr">
        <is>
          <t>NIST CSF 2.0 — Govern</t>
        </is>
      </c>
    </row>
    <row r="2" ht="18" customHeight="1">
      <c r="A2" s="39" t="inlineStr">
        <is>
          <t>Application: (fill in Overview sheet)  |  Define security policies, roles, risk tolerance and compliance requirements for the application.</t>
        </is>
      </c>
    </row>
    <row r="3" ht="16" customHeight="1">
      <c r="A3" s="40" t="inlineStr">
        <is>
          <t>For each item: select status from dropdown  →  add remarks if Partial or No</t>
        </is>
      </c>
    </row>
    <row r="5" ht="22" customHeight="1">
      <c r="A5" s="41" t="inlineStr">
        <is>
          <t>#</t>
        </is>
      </c>
      <c r="B5" s="41" t="inlineStr">
        <is>
          <t>Checklist Item</t>
        </is>
      </c>
      <c r="C5" s="41" t="inlineStr">
        <is>
          <t>What to Verify</t>
        </is>
      </c>
      <c r="D5" s="41" t="inlineStr">
        <is>
          <t>Evidence / Reference</t>
        </is>
      </c>
      <c r="E5" s="41" t="inlineStr">
        <is>
          <t>Status</t>
        </is>
      </c>
      <c r="F5" s="41" t="inlineStr">
        <is>
          <t>Remarks</t>
        </is>
      </c>
      <c r="G5" s="41" t="inlineStr">
        <is>
          <t>Checked By</t>
        </is>
      </c>
    </row>
    <row r="6" ht="36" customHeight="1">
      <c r="A6" s="11" t="n">
        <v>1</v>
      </c>
      <c r="B6" s="42" t="inlineStr">
        <is>
          <t>Security policy exists for this application</t>
        </is>
      </c>
      <c r="C6" s="43" t="inlineStr">
        <is>
          <t>Policy doc exists</t>
        </is>
      </c>
      <c r="D6" s="44" t="inlineStr"/>
      <c r="E6" s="16" t="inlineStr">
        <is>
          <t>Not Started</t>
        </is>
      </c>
      <c r="F6" s="44" t="inlineStr"/>
      <c r="G6" s="11" t="inlineStr"/>
    </row>
    <row r="7" ht="36" customHeight="1">
      <c r="A7" s="45" t="n">
        <v>2</v>
      </c>
      <c r="B7" s="46" t="inlineStr">
        <is>
          <t>Roles &amp; responsibilities for AppSec are assigned</t>
        </is>
      </c>
      <c r="C7" s="47" t="inlineStr">
        <is>
          <t>RACI chart</t>
        </is>
      </c>
      <c r="D7" s="48" t="inlineStr"/>
      <c r="E7" s="16" t="inlineStr">
        <is>
          <t>Not Started</t>
        </is>
      </c>
      <c r="F7" s="48" t="inlineStr"/>
      <c r="G7" s="45" t="inlineStr"/>
    </row>
    <row r="8" ht="36" customHeight="1">
      <c r="A8" s="11" t="n">
        <v>3</v>
      </c>
      <c r="B8" s="42" t="inlineStr">
        <is>
          <t>Risk tolerance level is documented</t>
        </is>
      </c>
      <c r="C8" s="43" t="inlineStr">
        <is>
          <t>Risk register</t>
        </is>
      </c>
      <c r="D8" s="44" t="inlineStr"/>
      <c r="E8" s="16" t="inlineStr">
        <is>
          <t>Not Started</t>
        </is>
      </c>
      <c r="F8" s="44" t="inlineStr"/>
      <c r="G8" s="11" t="inlineStr"/>
    </row>
    <row r="9" ht="36" customHeight="1">
      <c r="A9" s="45" t="n">
        <v>4</v>
      </c>
      <c r="B9" s="46" t="inlineStr">
        <is>
          <t>Third-party / vendor security requirements defined</t>
        </is>
      </c>
      <c r="C9" s="47" t="inlineStr">
        <is>
          <t>Vendor contracts</t>
        </is>
      </c>
      <c r="D9" s="48" t="inlineStr"/>
      <c r="E9" s="16" t="inlineStr">
        <is>
          <t>Not Started</t>
        </is>
      </c>
      <c r="F9" s="48" t="inlineStr"/>
      <c r="G9" s="45" t="inlineStr"/>
    </row>
    <row r="10" ht="36" customHeight="1">
      <c r="A10" s="11" t="n">
        <v>5</v>
      </c>
      <c r="B10" s="42" t="inlineStr">
        <is>
          <t>Security requirements included in project charter</t>
        </is>
      </c>
      <c r="C10" s="43" t="inlineStr">
        <is>
          <t>Project charter</t>
        </is>
      </c>
      <c r="D10" s="44" t="inlineStr"/>
      <c r="E10" s="16" t="inlineStr">
        <is>
          <t>Not Started</t>
        </is>
      </c>
      <c r="F10" s="44" t="inlineStr"/>
      <c r="G10" s="11" t="inlineStr"/>
    </row>
    <row r="11" ht="36" customHeight="1">
      <c r="A11" s="45" t="n">
        <v>6</v>
      </c>
      <c r="B11" s="46" t="inlineStr">
        <is>
          <t>Compliance requirements identified (GDPR, PCI-DSS etc.)</t>
        </is>
      </c>
      <c r="C11" s="47" t="inlineStr">
        <is>
          <t>Compliance register</t>
        </is>
      </c>
      <c r="D11" s="48" t="inlineStr"/>
      <c r="E11" s="16" t="inlineStr">
        <is>
          <t>Not Started</t>
        </is>
      </c>
      <c r="F11" s="48" t="inlineStr"/>
      <c r="G11" s="45" t="inlineStr"/>
    </row>
    <row r="13">
      <c r="A13" s="49" t="inlineStr">
        <is>
          <t>Summary</t>
        </is>
      </c>
      <c r="B13" s="50">
        <f>CONCATENATE("Yes: ",COUNTIF(E6:E11,"Yes"))</f>
        <v/>
      </c>
      <c r="C13" s="51">
        <f>CONCATENATE("No: ",COUNTIF(E6:E11,"No"))</f>
        <v/>
      </c>
      <c r="D13" s="52">
        <f>CONCATENATE("Partial: ",COUNTIF(E6:E11,"Partial"))</f>
        <v/>
      </c>
      <c r="E13" s="53">
        <f>CONCATENATE("NA: ",COUNTIF(E6:E11,"NA"))</f>
        <v/>
      </c>
    </row>
  </sheetData>
  <mergeCells count="3">
    <mergeCell ref="A3:G3"/>
    <mergeCell ref="A2:G2"/>
    <mergeCell ref="A1:G1"/>
  </mergeCells>
  <dataValidations count="1">
    <dataValidation sqref="E6:E11" showDropDown="0" showInputMessage="0" showErrorMessage="0" allowBlank="1" type="list">
      <formula1>"Yes,No,Partial,NA"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2" customWidth="1" min="4" max="4"/>
    <col width="13" customWidth="1" min="5" max="5"/>
    <col width="28" customWidth="1" min="6" max="6"/>
    <col width="14" customWidth="1" min="7" max="7"/>
  </cols>
  <sheetData>
    <row r="1" ht="34" customHeight="1">
      <c r="A1" s="54" t="inlineStr">
        <is>
          <t>NIST CSF 2.0 — Identify</t>
        </is>
      </c>
    </row>
    <row r="2" ht="18" customHeight="1">
      <c r="A2" s="39" t="inlineStr">
        <is>
          <t>Application: (fill in Overview sheet)  |  Know all assets, data flows, dependencies, and risks associated with the application.</t>
        </is>
      </c>
    </row>
    <row r="3" ht="16" customHeight="1">
      <c r="A3" s="40" t="inlineStr">
        <is>
          <t>For each item: select status from dropdown  →  add remarks if Partial or No</t>
        </is>
      </c>
    </row>
    <row r="5" ht="22" customHeight="1">
      <c r="A5" s="55" t="inlineStr">
        <is>
          <t>#</t>
        </is>
      </c>
      <c r="B5" s="55" t="inlineStr">
        <is>
          <t>Checklist Item</t>
        </is>
      </c>
      <c r="C5" s="55" t="inlineStr">
        <is>
          <t>What to Verify</t>
        </is>
      </c>
      <c r="D5" s="55" t="inlineStr">
        <is>
          <t>Evidence / Reference</t>
        </is>
      </c>
      <c r="E5" s="55" t="inlineStr">
        <is>
          <t>Status</t>
        </is>
      </c>
      <c r="F5" s="55" t="inlineStr">
        <is>
          <t>Remarks</t>
        </is>
      </c>
      <c r="G5" s="55" t="inlineStr">
        <is>
          <t>Checked By</t>
        </is>
      </c>
    </row>
    <row r="6" ht="36" customHeight="1">
      <c r="A6" s="17" t="n">
        <v>1</v>
      </c>
      <c r="B6" s="56" t="inlineStr">
        <is>
          <t>All application components and assets inventoried</t>
        </is>
      </c>
      <c r="C6" s="57" t="inlineStr">
        <is>
          <t>Asset inventory sheet</t>
        </is>
      </c>
      <c r="D6" s="58" t="inlineStr"/>
      <c r="E6" s="16" t="inlineStr">
        <is>
          <t>Not Started</t>
        </is>
      </c>
      <c r="F6" s="58" t="inlineStr"/>
      <c r="G6" s="17" t="inlineStr"/>
    </row>
    <row r="7" ht="36" customHeight="1">
      <c r="A7" s="45" t="n">
        <v>2</v>
      </c>
      <c r="B7" s="46" t="inlineStr">
        <is>
          <t>All API endpoints documented (REST / SOAP / GraphQL)</t>
        </is>
      </c>
      <c r="C7" s="47" t="inlineStr">
        <is>
          <t>API documentation</t>
        </is>
      </c>
      <c r="D7" s="48" t="inlineStr"/>
      <c r="E7" s="16" t="inlineStr">
        <is>
          <t>Not Started</t>
        </is>
      </c>
      <c r="F7" s="48" t="inlineStr"/>
      <c r="G7" s="45" t="inlineStr"/>
    </row>
    <row r="8" ht="36" customHeight="1">
      <c r="A8" s="17" t="n">
        <v>3</v>
      </c>
      <c r="B8" s="56" t="inlineStr">
        <is>
          <t>Data classification completed (PII, sensitive data identified)</t>
        </is>
      </c>
      <c r="C8" s="57" t="inlineStr">
        <is>
          <t>Data flow diagram</t>
        </is>
      </c>
      <c r="D8" s="58" t="inlineStr"/>
      <c r="E8" s="16" t="inlineStr">
        <is>
          <t>Not Started</t>
        </is>
      </c>
      <c r="F8" s="58" t="inlineStr"/>
      <c r="G8" s="17" t="inlineStr"/>
    </row>
    <row r="9" ht="36" customHeight="1">
      <c r="A9" s="45" t="n">
        <v>4</v>
      </c>
      <c r="B9" s="46" t="inlineStr">
        <is>
          <t>Threat modelling completed (STRIDE / PASTA applied)</t>
        </is>
      </c>
      <c r="C9" s="47" t="inlineStr">
        <is>
          <t>Threat model doc</t>
        </is>
      </c>
      <c r="D9" s="48" t="inlineStr"/>
      <c r="E9" s="16" t="inlineStr">
        <is>
          <t>Not Started</t>
        </is>
      </c>
      <c r="F9" s="48" t="inlineStr"/>
      <c r="G9" s="45" t="inlineStr"/>
    </row>
    <row r="10" ht="36" customHeight="1">
      <c r="A10" s="17" t="n">
        <v>5</v>
      </c>
      <c r="B10" s="56" t="inlineStr">
        <is>
          <t>Third-party libraries and dependencies listed (SCA scope)</t>
        </is>
      </c>
      <c r="C10" s="57" t="inlineStr">
        <is>
          <t>package.json / pom.xml</t>
        </is>
      </c>
      <c r="D10" s="58" t="inlineStr"/>
      <c r="E10" s="16" t="inlineStr">
        <is>
          <t>Not Started</t>
        </is>
      </c>
      <c r="F10" s="58" t="inlineStr"/>
      <c r="G10" s="17" t="inlineStr"/>
    </row>
    <row r="11" ht="36" customHeight="1">
      <c r="A11" s="45" t="n">
        <v>6</v>
      </c>
      <c r="B11" s="46" t="inlineStr">
        <is>
          <t>Attack surface fully mapped and documented</t>
        </is>
      </c>
      <c r="C11" s="47" t="inlineStr">
        <is>
          <t>Attack surface doc</t>
        </is>
      </c>
      <c r="D11" s="48" t="inlineStr"/>
      <c r="E11" s="16" t="inlineStr">
        <is>
          <t>Not Started</t>
        </is>
      </c>
      <c r="F11" s="48" t="inlineStr"/>
      <c r="G11" s="45" t="inlineStr"/>
    </row>
    <row r="12" ht="36" customHeight="1">
      <c r="A12" s="17" t="n">
        <v>7</v>
      </c>
      <c r="B12" s="56" t="inlineStr">
        <is>
          <t>Risk assessment completed</t>
        </is>
      </c>
      <c r="C12" s="57" t="inlineStr">
        <is>
          <t>Risk assessment doc</t>
        </is>
      </c>
      <c r="D12" s="58" t="inlineStr"/>
      <c r="E12" s="16" t="inlineStr">
        <is>
          <t>Not Started</t>
        </is>
      </c>
      <c r="F12" s="58" t="inlineStr"/>
      <c r="G12" s="17" t="inlineStr"/>
    </row>
    <row r="14">
      <c r="A14" s="59" t="inlineStr">
        <is>
          <t>Summary</t>
        </is>
      </c>
      <c r="B14" s="50">
        <f>CONCATENATE("Yes: ",COUNTIF(E6:E12,"Yes"))</f>
        <v/>
      </c>
      <c r="C14" s="51">
        <f>CONCATENATE("No: ",COUNTIF(E6:E12,"No"))</f>
        <v/>
      </c>
      <c r="D14" s="52">
        <f>CONCATENATE("Partial: ",COUNTIF(E6:E12,"Partial"))</f>
        <v/>
      </c>
      <c r="E14" s="53">
        <f>CONCATENATE("NA: ",COUNTIF(E6:E12,"NA"))</f>
        <v/>
      </c>
    </row>
  </sheetData>
  <mergeCells count="3">
    <mergeCell ref="A3:G3"/>
    <mergeCell ref="A2:G2"/>
    <mergeCell ref="A1:G1"/>
  </mergeCells>
  <dataValidations count="1">
    <dataValidation sqref="E6:E12" showDropDown="0" showInputMessage="0" showErrorMessage="0" allowBlank="1" type="list">
      <formula1>"Yes,No,Partial,NA"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2" customWidth="1" min="4" max="4"/>
    <col width="13" customWidth="1" min="5" max="5"/>
    <col width="28" customWidth="1" min="6" max="6"/>
    <col width="14" customWidth="1" min="7" max="7"/>
  </cols>
  <sheetData>
    <row r="1" ht="34" customHeight="1">
      <c r="A1" s="60" t="inlineStr">
        <is>
          <t>NIST CSF 2.0 — Protect</t>
        </is>
      </c>
    </row>
    <row r="2" ht="18" customHeight="1">
      <c r="A2" s="39" t="inlineStr">
        <is>
          <t>Application: (fill in Overview sheet)  |  Implement security controls to prevent vulnerabilities and attacks on the application.</t>
        </is>
      </c>
    </row>
    <row r="3" ht="16" customHeight="1">
      <c r="A3" s="40" t="inlineStr">
        <is>
          <t>For each item: select status from dropdown  →  add remarks if Partial or No</t>
        </is>
      </c>
    </row>
    <row r="5" ht="22" customHeight="1">
      <c r="A5" s="61" t="inlineStr">
        <is>
          <t>#</t>
        </is>
      </c>
      <c r="B5" s="61" t="inlineStr">
        <is>
          <t>Checklist Item</t>
        </is>
      </c>
      <c r="C5" s="61" t="inlineStr">
        <is>
          <t>What to Verify</t>
        </is>
      </c>
      <c r="D5" s="61" t="inlineStr">
        <is>
          <t>Evidence / Reference</t>
        </is>
      </c>
      <c r="E5" s="61" t="inlineStr">
        <is>
          <t>Status</t>
        </is>
      </c>
      <c r="F5" s="61" t="inlineStr">
        <is>
          <t>Remarks</t>
        </is>
      </c>
      <c r="G5" s="61" t="inlineStr">
        <is>
          <t>Checked By</t>
        </is>
      </c>
    </row>
    <row r="6" ht="36" customHeight="1">
      <c r="A6" s="19" t="n">
        <v>1</v>
      </c>
      <c r="B6" s="62" t="inlineStr">
        <is>
          <t>Authentication implemented (MFA for privileged accounts)</t>
        </is>
      </c>
      <c r="C6" s="63" t="inlineStr">
        <is>
          <t>Login flow + MFA check</t>
        </is>
      </c>
      <c r="D6" s="64" t="inlineStr"/>
      <c r="E6" s="16" t="inlineStr">
        <is>
          <t>Not Started</t>
        </is>
      </c>
      <c r="F6" s="64" t="inlineStr"/>
      <c r="G6" s="19" t="inlineStr"/>
    </row>
    <row r="7" ht="36" customHeight="1">
      <c r="A7" s="45" t="n">
        <v>2</v>
      </c>
      <c r="B7" s="46" t="inlineStr">
        <is>
          <t>OAuth 2.0 / JWT properly configured and validated</t>
        </is>
      </c>
      <c r="C7" s="47" t="inlineStr">
        <is>
          <t>JWT decode + expiry test</t>
        </is>
      </c>
      <c r="D7" s="48" t="inlineStr"/>
      <c r="E7" s="16" t="inlineStr">
        <is>
          <t>Not Started</t>
        </is>
      </c>
      <c r="F7" s="48" t="inlineStr"/>
      <c r="G7" s="45" t="inlineStr"/>
    </row>
    <row r="8" ht="36" customHeight="1">
      <c r="A8" s="19" t="n">
        <v>3</v>
      </c>
      <c r="B8" s="62" t="inlineStr">
        <is>
          <t>Role-based access control (RBAC) enforced — BOLA tested</t>
        </is>
      </c>
      <c r="C8" s="63" t="inlineStr">
        <is>
          <t>Access control matrix</t>
        </is>
      </c>
      <c r="D8" s="64" t="inlineStr"/>
      <c r="E8" s="16" t="inlineStr">
        <is>
          <t>Not Started</t>
        </is>
      </c>
      <c r="F8" s="64" t="inlineStr"/>
      <c r="G8" s="19" t="inlineStr"/>
    </row>
    <row r="9" ht="36" customHeight="1">
      <c r="A9" s="45" t="n">
        <v>4</v>
      </c>
      <c r="B9" s="46" t="inlineStr">
        <is>
          <t>Input validation and output encoding implemented</t>
        </is>
      </c>
      <c r="C9" s="47" t="inlineStr">
        <is>
          <t>Code review / WAF config</t>
        </is>
      </c>
      <c r="D9" s="48" t="inlineStr"/>
      <c r="E9" s="16" t="inlineStr">
        <is>
          <t>Not Started</t>
        </is>
      </c>
      <c r="F9" s="48" t="inlineStr"/>
      <c r="G9" s="45" t="inlineStr"/>
    </row>
    <row r="10" ht="36" customHeight="1">
      <c r="A10" s="19" t="n">
        <v>5</v>
      </c>
      <c r="B10" s="62" t="inlineStr">
        <is>
          <t>HTTPS enforced on all endpoints (TLS 1.2+)</t>
        </is>
      </c>
      <c r="C10" s="63" t="inlineStr">
        <is>
          <t>SSL Labs test result</t>
        </is>
      </c>
      <c r="D10" s="64" t="inlineStr"/>
      <c r="E10" s="16" t="inlineStr">
        <is>
          <t>Not Started</t>
        </is>
      </c>
      <c r="F10" s="64" t="inlineStr"/>
      <c r="G10" s="19" t="inlineStr"/>
    </row>
    <row r="11" ht="36" customHeight="1">
      <c r="A11" s="45" t="n">
        <v>6</v>
      </c>
      <c r="B11" s="46" t="inlineStr">
        <is>
          <t>Sensitive data encrypted at rest and in transit</t>
        </is>
      </c>
      <c r="C11" s="47" t="inlineStr">
        <is>
          <t>Encryption config</t>
        </is>
      </c>
      <c r="D11" s="48" t="inlineStr"/>
      <c r="E11" s="16" t="inlineStr">
        <is>
          <t>Not Started</t>
        </is>
      </c>
      <c r="F11" s="48" t="inlineStr"/>
      <c r="G11" s="45" t="inlineStr"/>
    </row>
    <row r="12" ht="36" customHeight="1">
      <c r="A12" s="19" t="n">
        <v>7</v>
      </c>
      <c r="B12" s="62" t="inlineStr">
        <is>
          <t>Security headers configured (CSP, HSTS, X-Frame etc.)</t>
        </is>
      </c>
      <c r="C12" s="63" t="inlineStr">
        <is>
          <t>Browser security headers</t>
        </is>
      </c>
      <c r="D12" s="64" t="inlineStr"/>
      <c r="E12" s="16" t="inlineStr">
        <is>
          <t>Not Started</t>
        </is>
      </c>
      <c r="F12" s="64" t="inlineStr"/>
      <c r="G12" s="19" t="inlineStr"/>
    </row>
    <row r="13" ht="36" customHeight="1">
      <c r="A13" s="45" t="n">
        <v>8</v>
      </c>
      <c r="B13" s="46" t="inlineStr">
        <is>
          <t>File upload restrictions and validation in place</t>
        </is>
      </c>
      <c r="C13" s="47" t="inlineStr">
        <is>
          <t>Upload test result</t>
        </is>
      </c>
      <c r="D13" s="48" t="inlineStr"/>
      <c r="E13" s="16" t="inlineStr">
        <is>
          <t>Not Started</t>
        </is>
      </c>
      <c r="F13" s="48" t="inlineStr"/>
      <c r="G13" s="45" t="inlineStr"/>
    </row>
    <row r="14" ht="36" customHeight="1">
      <c r="A14" s="19" t="n">
        <v>9</v>
      </c>
      <c r="B14" s="62" t="inlineStr">
        <is>
          <t>Rate limiting applied on APIs and login endpoints</t>
        </is>
      </c>
      <c r="C14" s="63" t="inlineStr">
        <is>
          <t>Rate limit test</t>
        </is>
      </c>
      <c r="D14" s="64" t="inlineStr"/>
      <c r="E14" s="16" t="inlineStr">
        <is>
          <t>Not Started</t>
        </is>
      </c>
      <c r="F14" s="64" t="inlineStr"/>
      <c r="G14" s="19" t="inlineStr"/>
    </row>
    <row r="15" ht="36" customHeight="1">
      <c r="A15" s="45" t="n">
        <v>10</v>
      </c>
      <c r="B15" s="46" t="inlineStr">
        <is>
          <t>No secrets / credentials hardcoded in source code</t>
        </is>
      </c>
      <c r="C15" s="47" t="inlineStr">
        <is>
          <t>Code scan / secret scan</t>
        </is>
      </c>
      <c r="D15" s="48" t="inlineStr"/>
      <c r="E15" s="16" t="inlineStr">
        <is>
          <t>Not Started</t>
        </is>
      </c>
      <c r="F15" s="48" t="inlineStr"/>
      <c r="G15" s="45" t="inlineStr"/>
    </row>
    <row r="16" ht="36" customHeight="1">
      <c r="A16" s="19" t="n">
        <v>11</v>
      </c>
      <c r="B16" s="62" t="inlineStr">
        <is>
          <t>Secure SDLC process followed by development team</t>
        </is>
      </c>
      <c r="C16" s="63" t="inlineStr">
        <is>
          <t>SDLC process doc</t>
        </is>
      </c>
      <c r="D16" s="64" t="inlineStr"/>
      <c r="E16" s="16" t="inlineStr">
        <is>
          <t>Not Started</t>
        </is>
      </c>
      <c r="F16" s="64" t="inlineStr"/>
      <c r="G16" s="19" t="inlineStr"/>
    </row>
    <row r="18">
      <c r="A18" s="65" t="inlineStr">
        <is>
          <t>Summary</t>
        </is>
      </c>
      <c r="B18" s="50">
        <f>CONCATENATE("Yes: ",COUNTIF(E6:E16,"Yes"))</f>
        <v/>
      </c>
      <c r="C18" s="51">
        <f>CONCATENATE("No: ",COUNTIF(E6:E16,"No"))</f>
        <v/>
      </c>
      <c r="D18" s="52">
        <f>CONCATENATE("Partial: ",COUNTIF(E6:E16,"Partial"))</f>
        <v/>
      </c>
      <c r="E18" s="53">
        <f>CONCATENATE("NA: ",COUNTIF(E6:E16,"NA"))</f>
        <v/>
      </c>
    </row>
  </sheetData>
  <mergeCells count="3">
    <mergeCell ref="A3:G3"/>
    <mergeCell ref="A2:G2"/>
    <mergeCell ref="A1:G1"/>
  </mergeCells>
  <dataValidations count="1">
    <dataValidation sqref="E6:E16" showDropDown="0" showInputMessage="0" showErrorMessage="0" allowBlank="1" type="list">
      <formula1>"Yes,No,Partial,NA"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2" customWidth="1" min="4" max="4"/>
    <col width="13" customWidth="1" min="5" max="5"/>
    <col width="28" customWidth="1" min="6" max="6"/>
    <col width="14" customWidth="1" min="7" max="7"/>
  </cols>
  <sheetData>
    <row r="1" ht="34" customHeight="1">
      <c r="A1" s="66" t="inlineStr">
        <is>
          <t>NIST CSF 2.0 — Detect</t>
        </is>
      </c>
    </row>
    <row r="2" ht="18" customHeight="1">
      <c r="A2" s="39" t="inlineStr">
        <is>
          <t>Application: (fill in Overview sheet)  |  Identify vulnerabilities and security gaps through testing, scanning and monitoring.</t>
        </is>
      </c>
    </row>
    <row r="3" ht="16" customHeight="1">
      <c r="A3" s="40" t="inlineStr">
        <is>
          <t>For each item: select status from dropdown  →  add remarks if Partial or No</t>
        </is>
      </c>
    </row>
    <row r="5" ht="22" customHeight="1">
      <c r="A5" s="9" t="inlineStr">
        <is>
          <t>#</t>
        </is>
      </c>
      <c r="B5" s="9" t="inlineStr">
        <is>
          <t>Checklist Item</t>
        </is>
      </c>
      <c r="C5" s="9" t="inlineStr">
        <is>
          <t>What to Verify</t>
        </is>
      </c>
      <c r="D5" s="9" t="inlineStr">
        <is>
          <t>Evidence / Reference</t>
        </is>
      </c>
      <c r="E5" s="9" t="inlineStr">
        <is>
          <t>Status</t>
        </is>
      </c>
      <c r="F5" s="9" t="inlineStr">
        <is>
          <t>Remarks</t>
        </is>
      </c>
      <c r="G5" s="9" t="inlineStr">
        <is>
          <t>Checked By</t>
        </is>
      </c>
    </row>
    <row r="6" ht="36" customHeight="1">
      <c r="A6" s="21" t="n">
        <v>1</v>
      </c>
      <c r="B6" s="67" t="inlineStr">
        <is>
          <t>SAST scan completed on source code</t>
        </is>
      </c>
      <c r="C6" s="68" t="inlineStr">
        <is>
          <t>SAST scan report</t>
        </is>
      </c>
      <c r="D6" s="69" t="inlineStr"/>
      <c r="E6" s="16" t="inlineStr">
        <is>
          <t>Not Started</t>
        </is>
      </c>
      <c r="F6" s="69" t="inlineStr"/>
      <c r="G6" s="21" t="inlineStr"/>
    </row>
    <row r="7" ht="36" customHeight="1">
      <c r="A7" s="45" t="n">
        <v>2</v>
      </c>
      <c r="B7" s="46" t="inlineStr">
        <is>
          <t>DAST scan completed on running application</t>
        </is>
      </c>
      <c r="C7" s="47" t="inlineStr">
        <is>
          <t>DAST scan report</t>
        </is>
      </c>
      <c r="D7" s="48" t="inlineStr"/>
      <c r="E7" s="16" t="inlineStr">
        <is>
          <t>Not Started</t>
        </is>
      </c>
      <c r="F7" s="48" t="inlineStr"/>
      <c r="G7" s="45" t="inlineStr"/>
    </row>
    <row r="8" ht="36" customHeight="1">
      <c r="A8" s="21" t="n">
        <v>3</v>
      </c>
      <c r="B8" s="67" t="inlineStr">
        <is>
          <t>SCA scan done for vulnerable dependencies</t>
        </is>
      </c>
      <c r="C8" s="68" t="inlineStr">
        <is>
          <t>SCA scan report</t>
        </is>
      </c>
      <c r="D8" s="69" t="inlineStr"/>
      <c r="E8" s="16" t="inlineStr">
        <is>
          <t>Not Started</t>
        </is>
      </c>
      <c r="F8" s="69" t="inlineStr"/>
      <c r="G8" s="21" t="inlineStr"/>
    </row>
    <row r="9" ht="36" customHeight="1">
      <c r="A9" s="45" t="n">
        <v>4</v>
      </c>
      <c r="B9" s="46" t="inlineStr">
        <is>
          <t>API security testing completed (OWASP API Top 10)</t>
        </is>
      </c>
      <c r="C9" s="47" t="inlineStr">
        <is>
          <t>API pentest report</t>
        </is>
      </c>
      <c r="D9" s="48" t="inlineStr"/>
      <c r="E9" s="16" t="inlineStr">
        <is>
          <t>Not Started</t>
        </is>
      </c>
      <c r="F9" s="48" t="inlineStr"/>
      <c r="G9" s="45" t="inlineStr"/>
    </row>
    <row r="10" ht="36" customHeight="1">
      <c r="A10" s="21" t="n">
        <v>5</v>
      </c>
      <c r="B10" s="67" t="inlineStr">
        <is>
          <t>OWASP Top 10 web vulnerabilities tested</t>
        </is>
      </c>
      <c r="C10" s="68" t="inlineStr">
        <is>
          <t>OWASP checklist</t>
        </is>
      </c>
      <c r="D10" s="69" t="inlineStr"/>
      <c r="E10" s="16" t="inlineStr">
        <is>
          <t>Not Started</t>
        </is>
      </c>
      <c r="F10" s="69" t="inlineStr"/>
      <c r="G10" s="21" t="inlineStr"/>
    </row>
    <row r="11" ht="36" customHeight="1">
      <c r="A11" s="45" t="n">
        <v>6</v>
      </c>
      <c r="B11" s="46" t="inlineStr">
        <is>
          <t>Penetration testing completed with documented findings</t>
        </is>
      </c>
      <c r="C11" s="47" t="inlineStr">
        <is>
          <t>Pentest report</t>
        </is>
      </c>
      <c r="D11" s="48" t="inlineStr"/>
      <c r="E11" s="16" t="inlineStr">
        <is>
          <t>Not Started</t>
        </is>
      </c>
      <c r="F11" s="48" t="inlineStr"/>
      <c r="G11" s="45" t="inlineStr"/>
    </row>
    <row r="12" ht="36" customHeight="1">
      <c r="A12" s="21" t="n">
        <v>7</v>
      </c>
      <c r="B12" s="67" t="inlineStr">
        <is>
          <t>Security scans integrated into CI/CD pipeline</t>
        </is>
      </c>
      <c r="C12" s="68" t="inlineStr">
        <is>
          <t>CI/CD pipeline config</t>
        </is>
      </c>
      <c r="D12" s="69" t="inlineStr"/>
      <c r="E12" s="16" t="inlineStr">
        <is>
          <t>Not Started</t>
        </is>
      </c>
      <c r="F12" s="69" t="inlineStr"/>
      <c r="G12" s="21" t="inlineStr"/>
    </row>
    <row r="13" ht="36" customHeight="1">
      <c r="A13" s="45" t="n">
        <v>8</v>
      </c>
      <c r="B13" s="46" t="inlineStr">
        <is>
          <t>Application logging enabled (auth, errors, access events)</t>
        </is>
      </c>
      <c r="C13" s="47" t="inlineStr">
        <is>
          <t>Log sample / SIEM</t>
        </is>
      </c>
      <c r="D13" s="48" t="inlineStr"/>
      <c r="E13" s="16" t="inlineStr">
        <is>
          <t>Not Started</t>
        </is>
      </c>
      <c r="F13" s="48" t="inlineStr"/>
      <c r="G13" s="45" t="inlineStr"/>
    </row>
    <row r="14" ht="36" customHeight="1">
      <c r="A14" s="21" t="n">
        <v>9</v>
      </c>
      <c r="B14" s="67" t="inlineStr">
        <is>
          <t>Monitoring and alerting configured for suspicious activity</t>
        </is>
      </c>
      <c r="C14" s="68" t="inlineStr">
        <is>
          <t>Alert configuration</t>
        </is>
      </c>
      <c r="D14" s="69" t="inlineStr"/>
      <c r="E14" s="16" t="inlineStr">
        <is>
          <t>Not Started</t>
        </is>
      </c>
      <c r="F14" s="69" t="inlineStr"/>
      <c r="G14" s="21" t="inlineStr"/>
    </row>
    <row r="15" ht="36" customHeight="1">
      <c r="A15" s="45" t="n">
        <v>10</v>
      </c>
      <c r="B15" s="46" t="inlineStr">
        <is>
          <t>JWT / OAuth token security validated</t>
        </is>
      </c>
      <c r="C15" s="47" t="inlineStr">
        <is>
          <t>Token test evidence</t>
        </is>
      </c>
      <c r="D15" s="48" t="inlineStr"/>
      <c r="E15" s="16" t="inlineStr">
        <is>
          <t>Not Started</t>
        </is>
      </c>
      <c r="F15" s="48" t="inlineStr"/>
      <c r="G15" s="45" t="inlineStr"/>
    </row>
    <row r="17">
      <c r="A17" s="70" t="inlineStr">
        <is>
          <t>Summary</t>
        </is>
      </c>
      <c r="B17" s="50">
        <f>CONCATENATE("Yes: ",COUNTIF(E6:E15,"Yes"))</f>
        <v/>
      </c>
      <c r="C17" s="51">
        <f>CONCATENATE("No: ",COUNTIF(E6:E15,"No"))</f>
        <v/>
      </c>
      <c r="D17" s="52">
        <f>CONCATENATE("Partial: ",COUNTIF(E6:E15,"Partial"))</f>
        <v/>
      </c>
      <c r="E17" s="53">
        <f>CONCATENATE("NA: ",COUNTIF(E6:E15,"NA"))</f>
        <v/>
      </c>
    </row>
  </sheetData>
  <mergeCells count="3">
    <mergeCell ref="A3:G3"/>
    <mergeCell ref="A2:G2"/>
    <mergeCell ref="A1:G1"/>
  </mergeCells>
  <dataValidations count="1">
    <dataValidation sqref="E6:E15" showDropDown="0" showInputMessage="0" showErrorMessage="0" allowBlank="1" type="list">
      <formula1>"Yes,No,Partial,NA"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2" customWidth="1" min="4" max="4"/>
    <col width="13" customWidth="1" min="5" max="5"/>
    <col width="28" customWidth="1" min="6" max="6"/>
    <col width="14" customWidth="1" min="7" max="7"/>
  </cols>
  <sheetData>
    <row r="1" ht="34" customHeight="1">
      <c r="A1" s="71" t="inlineStr">
        <is>
          <t>NIST CSF 2.0 — Respond</t>
        </is>
      </c>
    </row>
    <row r="2" ht="18" customHeight="1">
      <c r="A2" s="39" t="inlineStr">
        <is>
          <t>Application: (fill in Overview sheet)  |  Act on identified vulnerabilities — report, prioritise, guide remediation and communicate.</t>
        </is>
      </c>
    </row>
    <row r="3" ht="16" customHeight="1">
      <c r="A3" s="40" t="inlineStr">
        <is>
          <t>For each item: select status from dropdown  →  add remarks if Partial or No</t>
        </is>
      </c>
    </row>
    <row r="5" ht="22" customHeight="1">
      <c r="A5" s="72" t="inlineStr">
        <is>
          <t>#</t>
        </is>
      </c>
      <c r="B5" s="72" t="inlineStr">
        <is>
          <t>Checklist Item</t>
        </is>
      </c>
      <c r="C5" s="72" t="inlineStr">
        <is>
          <t>What to Verify</t>
        </is>
      </c>
      <c r="D5" s="72" t="inlineStr">
        <is>
          <t>Evidence / Reference</t>
        </is>
      </c>
      <c r="E5" s="72" t="inlineStr">
        <is>
          <t>Status</t>
        </is>
      </c>
      <c r="F5" s="72" t="inlineStr">
        <is>
          <t>Remarks</t>
        </is>
      </c>
      <c r="G5" s="72" t="inlineStr">
        <is>
          <t>Checked By</t>
        </is>
      </c>
    </row>
    <row r="6" ht="36" customHeight="1">
      <c r="A6" s="23" t="n">
        <v>1</v>
      </c>
      <c r="B6" s="73" t="inlineStr">
        <is>
          <t>Vulnerability report created with CVSS severity ratings</t>
        </is>
      </c>
      <c r="C6" s="74" t="inlineStr">
        <is>
          <t>Vulnerability report</t>
        </is>
      </c>
      <c r="D6" s="75" t="inlineStr"/>
      <c r="E6" s="16" t="inlineStr">
        <is>
          <t>Not Started</t>
        </is>
      </c>
      <c r="F6" s="75" t="inlineStr"/>
      <c r="G6" s="23" t="inlineStr"/>
    </row>
    <row r="7" ht="36" customHeight="1">
      <c r="A7" s="45" t="n">
        <v>2</v>
      </c>
      <c r="B7" s="46" t="inlineStr">
        <is>
          <t>Findings shared and walked through with dev team</t>
        </is>
      </c>
      <c r="C7" s="47" t="inlineStr">
        <is>
          <t>Meeting notes / email</t>
        </is>
      </c>
      <c r="D7" s="48" t="inlineStr"/>
      <c r="E7" s="16" t="inlineStr">
        <is>
          <t>Not Started</t>
        </is>
      </c>
      <c r="F7" s="48" t="inlineStr"/>
      <c r="G7" s="45" t="inlineStr"/>
    </row>
    <row r="8" ht="36" customHeight="1">
      <c r="A8" s="23" t="n">
        <v>3</v>
      </c>
      <c r="B8" s="73" t="inlineStr">
        <is>
          <t>Remediation plan created with fix timelines</t>
        </is>
      </c>
      <c r="C8" s="74" t="inlineStr">
        <is>
          <t>Remediation tracker</t>
        </is>
      </c>
      <c r="D8" s="75" t="inlineStr"/>
      <c r="E8" s="16" t="inlineStr">
        <is>
          <t>Not Started</t>
        </is>
      </c>
      <c r="F8" s="75" t="inlineStr"/>
      <c r="G8" s="23" t="inlineStr"/>
    </row>
    <row r="9" ht="36" customHeight="1">
      <c r="A9" s="45" t="n">
        <v>4</v>
      </c>
      <c r="B9" s="46" t="inlineStr">
        <is>
          <t>Critical and high findings escalated and tracked</t>
        </is>
      </c>
      <c r="C9" s="47" t="inlineStr">
        <is>
          <t>Jira / ticket tracker</t>
        </is>
      </c>
      <c r="D9" s="48" t="inlineStr"/>
      <c r="E9" s="16" t="inlineStr">
        <is>
          <t>Not Started</t>
        </is>
      </c>
      <c r="F9" s="48" t="inlineStr"/>
      <c r="G9" s="45" t="inlineStr"/>
    </row>
    <row r="10" ht="36" customHeight="1">
      <c r="A10" s="23" t="n">
        <v>5</v>
      </c>
      <c r="B10" s="73" t="inlineStr">
        <is>
          <t>Developer fix guidance provided for each finding</t>
        </is>
      </c>
      <c r="C10" s="74" t="inlineStr">
        <is>
          <t>Fix guidance doc</t>
        </is>
      </c>
      <c r="D10" s="75" t="inlineStr"/>
      <c r="E10" s="16" t="inlineStr">
        <is>
          <t>Not Started</t>
        </is>
      </c>
      <c r="F10" s="75" t="inlineStr"/>
      <c r="G10" s="23" t="inlineStr"/>
    </row>
    <row r="11" ht="36" customHeight="1">
      <c r="A11" s="45" t="n">
        <v>6</v>
      </c>
      <c r="B11" s="46" t="inlineStr">
        <is>
          <t>Incident response plan documented for this application</t>
        </is>
      </c>
      <c r="C11" s="47" t="inlineStr">
        <is>
          <t>IR plan document</t>
        </is>
      </c>
      <c r="D11" s="48" t="inlineStr"/>
      <c r="E11" s="16" t="inlineStr">
        <is>
          <t>Not Started</t>
        </is>
      </c>
      <c r="F11" s="48" t="inlineStr"/>
      <c r="G11" s="45" t="inlineStr"/>
    </row>
    <row r="12" ht="36" customHeight="1">
      <c r="A12" s="23" t="n">
        <v>7</v>
      </c>
      <c r="B12" s="73" t="inlineStr">
        <is>
          <t>Stakeholders notified of critical risk items</t>
        </is>
      </c>
      <c r="C12" s="74" t="inlineStr">
        <is>
          <t>Stakeholder email</t>
        </is>
      </c>
      <c r="D12" s="75" t="inlineStr"/>
      <c r="E12" s="16" t="inlineStr">
        <is>
          <t>Not Started</t>
        </is>
      </c>
      <c r="F12" s="75" t="inlineStr"/>
      <c r="G12" s="23" t="inlineStr"/>
    </row>
    <row r="14">
      <c r="A14" s="76" t="inlineStr">
        <is>
          <t>Summary</t>
        </is>
      </c>
      <c r="B14" s="50">
        <f>CONCATENATE("Yes: ",COUNTIF(E6:E12,"Yes"))</f>
        <v/>
      </c>
      <c r="C14" s="51">
        <f>CONCATENATE("No: ",COUNTIF(E6:E12,"No"))</f>
        <v/>
      </c>
      <c r="D14" s="52">
        <f>CONCATENATE("Partial: ",COUNTIF(E6:E12,"Partial"))</f>
        <v/>
      </c>
      <c r="E14" s="53">
        <f>CONCATENATE("NA: ",COUNTIF(E6:E12,"NA"))</f>
        <v/>
      </c>
    </row>
  </sheetData>
  <mergeCells count="3">
    <mergeCell ref="A3:G3"/>
    <mergeCell ref="A2:G2"/>
    <mergeCell ref="A1:G1"/>
  </mergeCells>
  <dataValidations count="1">
    <dataValidation sqref="E6:E12" showDropDown="0" showInputMessage="0" showErrorMessage="0" allowBlank="1" type="list">
      <formula1>"Yes,No,Partial,NA"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2" customWidth="1" min="4" max="4"/>
    <col width="13" customWidth="1" min="5" max="5"/>
    <col width="28" customWidth="1" min="6" max="6"/>
    <col width="14" customWidth="1" min="7" max="7"/>
  </cols>
  <sheetData>
    <row r="1" ht="34" customHeight="1">
      <c r="A1" s="77" t="inlineStr">
        <is>
          <t>NIST CSF 2.0 — Recover</t>
        </is>
      </c>
    </row>
    <row r="2" ht="18" customHeight="1">
      <c r="A2" s="39" t="inlineStr">
        <is>
          <t>Application: (fill in Overview sheet)  |  Verify all fixes, close the assessment, and feed learnings back into the development process.</t>
        </is>
      </c>
    </row>
    <row r="3" ht="16" customHeight="1">
      <c r="A3" s="40" t="inlineStr">
        <is>
          <t>For each item: select status from dropdown  →  add remarks if Partial or No</t>
        </is>
      </c>
    </row>
    <row r="5" ht="22" customHeight="1">
      <c r="A5" s="7" t="inlineStr">
        <is>
          <t>#</t>
        </is>
      </c>
      <c r="B5" s="7" t="inlineStr">
        <is>
          <t>Checklist Item</t>
        </is>
      </c>
      <c r="C5" s="7" t="inlineStr">
        <is>
          <t>What to Verify</t>
        </is>
      </c>
      <c r="D5" s="7" t="inlineStr">
        <is>
          <t>Evidence / Reference</t>
        </is>
      </c>
      <c r="E5" s="7" t="inlineStr">
        <is>
          <t>Status</t>
        </is>
      </c>
      <c r="F5" s="7" t="inlineStr">
        <is>
          <t>Remarks</t>
        </is>
      </c>
      <c r="G5" s="7" t="inlineStr">
        <is>
          <t>Checked By</t>
        </is>
      </c>
    </row>
    <row r="6" ht="36" customHeight="1">
      <c r="A6" s="25" t="n">
        <v>1</v>
      </c>
      <c r="B6" s="78" t="inlineStr">
        <is>
          <t>Re-testing completed after developer fixes applied</t>
        </is>
      </c>
      <c r="C6" s="79" t="inlineStr">
        <is>
          <t>Re-test evidence</t>
        </is>
      </c>
      <c r="D6" s="80" t="inlineStr"/>
      <c r="E6" s="16" t="inlineStr">
        <is>
          <t>Not Started</t>
        </is>
      </c>
      <c r="F6" s="80" t="inlineStr"/>
      <c r="G6" s="25" t="inlineStr"/>
    </row>
    <row r="7" ht="36" customHeight="1">
      <c r="A7" s="45" t="n">
        <v>2</v>
      </c>
      <c r="B7" s="46" t="inlineStr">
        <is>
          <t>All critical and high findings verified as resolved</t>
        </is>
      </c>
      <c r="C7" s="47" t="inlineStr">
        <is>
          <t>Closed finding report</t>
        </is>
      </c>
      <c r="D7" s="48" t="inlineStr"/>
      <c r="E7" s="16" t="inlineStr">
        <is>
          <t>Not Started</t>
        </is>
      </c>
      <c r="F7" s="48" t="inlineStr"/>
      <c r="G7" s="45" t="inlineStr"/>
    </row>
    <row r="8" ht="36" customHeight="1">
      <c r="A8" s="25" t="n">
        <v>3</v>
      </c>
      <c r="B8" s="78" t="inlineStr">
        <is>
          <t>Final sign-off report created (open vs closed findings)</t>
        </is>
      </c>
      <c r="C8" s="79" t="inlineStr">
        <is>
          <t>Sign-off email</t>
        </is>
      </c>
      <c r="D8" s="80" t="inlineStr"/>
      <c r="E8" s="16" t="inlineStr">
        <is>
          <t>Not Started</t>
        </is>
      </c>
      <c r="F8" s="80" t="inlineStr"/>
      <c r="G8" s="25" t="inlineStr"/>
    </row>
    <row r="9" ht="36" customHeight="1">
      <c r="A9" s="45" t="n">
        <v>4</v>
      </c>
      <c r="B9" s="46" t="inlineStr">
        <is>
          <t>Lessons learned documented for this assessment</t>
        </is>
      </c>
      <c r="C9" s="47" t="inlineStr">
        <is>
          <t>Lessons learned doc</t>
        </is>
      </c>
      <c r="D9" s="48" t="inlineStr"/>
      <c r="E9" s="16" t="inlineStr">
        <is>
          <t>Not Started</t>
        </is>
      </c>
      <c r="F9" s="48" t="inlineStr"/>
      <c r="G9" s="45" t="inlineStr"/>
    </row>
    <row r="10" ht="36" customHeight="1">
      <c r="A10" s="25" t="n">
        <v>5</v>
      </c>
      <c r="B10" s="78" t="inlineStr">
        <is>
          <t>Recurring findings fed back into SDLC / coding standards</t>
        </is>
      </c>
      <c r="C10" s="79" t="inlineStr">
        <is>
          <t>Updated coding guide</t>
        </is>
      </c>
      <c r="D10" s="80" t="inlineStr"/>
      <c r="E10" s="16" t="inlineStr">
        <is>
          <t>Not Started</t>
        </is>
      </c>
      <c r="F10" s="80" t="inlineStr"/>
      <c r="G10" s="25" t="inlineStr"/>
    </row>
    <row r="11" ht="36" customHeight="1">
      <c r="A11" s="45" t="n">
        <v>6</v>
      </c>
      <c r="B11" s="46" t="inlineStr">
        <is>
          <t>Knowledge transfer session done with dev and QA team</t>
        </is>
      </c>
      <c r="C11" s="47" t="inlineStr">
        <is>
          <t>KT session recording</t>
        </is>
      </c>
      <c r="D11" s="48" t="inlineStr"/>
      <c r="E11" s="16" t="inlineStr">
        <is>
          <t>Not Started</t>
        </is>
      </c>
      <c r="F11" s="48" t="inlineStr"/>
      <c r="G11" s="45" t="inlineStr"/>
    </row>
    <row r="13">
      <c r="A13" s="81" t="inlineStr">
        <is>
          <t>Summary</t>
        </is>
      </c>
      <c r="B13" s="50">
        <f>CONCATENATE("Yes: ",COUNTIF(E6:E11,"Yes"))</f>
        <v/>
      </c>
      <c r="C13" s="51">
        <f>CONCATENATE("No: ",COUNTIF(E6:E11,"No"))</f>
        <v/>
      </c>
      <c r="D13" s="52">
        <f>CONCATENATE("Partial: ",COUNTIF(E6:E11,"Partial"))</f>
        <v/>
      </c>
      <c r="E13" s="53">
        <f>CONCATENATE("NA: ",COUNTIF(E6:E11,"NA"))</f>
        <v/>
      </c>
    </row>
  </sheetData>
  <mergeCells count="3">
    <mergeCell ref="A3:G3"/>
    <mergeCell ref="A2:G2"/>
    <mergeCell ref="A1:G1"/>
  </mergeCells>
  <dataValidations count="1">
    <dataValidation sqref="E6:E11" showDropDown="0" showInputMessage="0" showErrorMessage="0" allowBlank="1" type="list">
      <formula1>"Yes,No,Partial,NA"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2026-05-28T16:33:39Z</dcterms:created>
  <dcterms:modified xmlns:dcterms="http://purl.org/dc/terms/" xmlns:xsi="http://www.w3.org/2001/XMLSchema-instance" xsi:type="dcterms:W3CDTF">2026-05-28T16:33:39Z</dcterms:modified>
</cp:coreProperties>
</file>